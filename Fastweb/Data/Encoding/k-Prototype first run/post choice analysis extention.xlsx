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Encoding\k-Prototype first run\"/>
    </mc:Choice>
  </mc:AlternateContent>
  <xr:revisionPtr revIDLastSave="0" documentId="13_ncr:1_{88D3B6A5-E68A-4329-8E39-80A98221A9AB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O13" i="2"/>
  <c r="B13" i="2"/>
  <c r="B22" i="1"/>
  <c r="D22" i="1"/>
  <c r="E22" i="1"/>
  <c r="F22" i="1"/>
  <c r="G22" i="1"/>
  <c r="H22" i="1"/>
  <c r="I22" i="1"/>
  <c r="J22" i="1"/>
  <c r="K22" i="1"/>
  <c r="L22" i="1"/>
  <c r="M22" i="1"/>
  <c r="N22" i="1"/>
  <c r="O22" i="1"/>
  <c r="C22" i="1"/>
  <c r="B8" i="3"/>
  <c r="C8" i="3"/>
  <c r="D8" i="3"/>
  <c r="E8" i="3"/>
  <c r="G8" i="3"/>
  <c r="H8" i="3"/>
  <c r="I8" i="3"/>
  <c r="J8" i="3"/>
  <c r="K8" i="3"/>
  <c r="L8" i="3"/>
  <c r="M8" i="3"/>
  <c r="N8" i="3"/>
  <c r="O8" i="3"/>
  <c r="F8" i="3"/>
  <c r="P7" i="3"/>
</calcChain>
</file>

<file path=xl/sharedStrings.xml><?xml version="1.0" encoding="utf-8"?>
<sst xmlns="http://schemas.openxmlformats.org/spreadsheetml/2006/main" count="71" uniqueCount="29">
  <si>
    <t>cluster</t>
  </si>
  <si>
    <t>Row Labels</t>
  </si>
  <si>
    <t>Sum of choice_reason_2024_inefficient_public_service</t>
  </si>
  <si>
    <t>Sum of choice_reason_2024_travel_time</t>
  </si>
  <si>
    <t>Sum of choice_reason_2024_safety</t>
  </si>
  <si>
    <t>Sum of choice_reason_2024_respect_for_environment</t>
  </si>
  <si>
    <t>Sum of choice_reason_2024_parking_difficulties</t>
  </si>
  <si>
    <t>Sum of choice_reason_2024_less_stressful_alternative</t>
  </si>
  <si>
    <t>Sum of choice_reason_2024_lack_of_valid_alternative</t>
  </si>
  <si>
    <t>Sum of choice_reason_2024_lack_of_cycle_path</t>
  </si>
  <si>
    <t>Sum of choice_reason_2024_accompany_people</t>
  </si>
  <si>
    <t>Sum of choice_reason_2024_health</t>
  </si>
  <si>
    <t>Sum of choice_reason_2024_extra_work_activity</t>
  </si>
  <si>
    <t>Sum of choice_reason_2024_autonomoy_of_movement</t>
  </si>
  <si>
    <t>Sum of choice_reason_2024_economy</t>
  </si>
  <si>
    <t>Sum of choice_reason_2024_comfort</t>
  </si>
  <si>
    <t>car → bike</t>
  </si>
  <si>
    <t>car → carpooling_driver</t>
  </si>
  <si>
    <t>car → carpooling_passenger</t>
  </si>
  <si>
    <t>car → public_transport</t>
  </si>
  <si>
    <t>car → spostamento multimodale</t>
  </si>
  <si>
    <t>car → walking</t>
  </si>
  <si>
    <t>motorcycle → bike</t>
  </si>
  <si>
    <t>motorcycle → public_transport</t>
  </si>
  <si>
    <t>Grand Total</t>
  </si>
  <si>
    <t>Main motivations have been Economy, Parking difficulties, less stressful alternative and travel time</t>
  </si>
  <si>
    <t>motorcycle → spostamento multimodale</t>
  </si>
  <si>
    <t>Most repeated choices have been lack of valid alternatives, economy, travel time</t>
  </si>
  <si>
    <t>Most repeated choices have been lack of valid alternatives, economy, parking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</si>
</sst>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J28" sqref="J28"/>
    </sheetView>
  </sheetViews>
  <sheetFormatPr defaultRowHeight="14.4" x14ac:dyDescent="0.3"/>
  <cols>
    <col min="1" max="1" width="29.5546875" bestFit="1" customWidth="1"/>
  </cols>
  <sheetData>
    <row r="1" spans="1:15" x14ac:dyDescent="0.3">
      <c r="A1" t="s">
        <v>0</v>
      </c>
      <c r="B1">
        <v>1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 t="s">
        <v>16</v>
      </c>
      <c r="B4">
        <v>0</v>
      </c>
      <c r="C4">
        <v>3</v>
      </c>
      <c r="D4">
        <v>0</v>
      </c>
      <c r="E4">
        <v>2</v>
      </c>
      <c r="F4">
        <v>1</v>
      </c>
      <c r="G4">
        <v>2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</row>
    <row r="5" spans="1:15" x14ac:dyDescent="0.3">
      <c r="A5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</row>
    <row r="6" spans="1:15" x14ac:dyDescent="0.3">
      <c r="A6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</row>
    <row r="7" spans="1:15" x14ac:dyDescent="0.3">
      <c r="A7" t="s">
        <v>19</v>
      </c>
      <c r="B7">
        <v>1</v>
      </c>
      <c r="C7">
        <v>1</v>
      </c>
      <c r="D7">
        <v>1</v>
      </c>
      <c r="E7">
        <v>2</v>
      </c>
      <c r="F7">
        <v>4</v>
      </c>
      <c r="G7">
        <v>1</v>
      </c>
      <c r="H7">
        <v>2</v>
      </c>
      <c r="I7">
        <v>1</v>
      </c>
      <c r="J7">
        <v>0</v>
      </c>
      <c r="K7">
        <v>0</v>
      </c>
      <c r="L7">
        <v>0</v>
      </c>
      <c r="M7">
        <v>2</v>
      </c>
      <c r="N7">
        <v>4</v>
      </c>
      <c r="O7">
        <v>0</v>
      </c>
    </row>
    <row r="8" spans="1:15" x14ac:dyDescent="0.3">
      <c r="A8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21</v>
      </c>
      <c r="B9">
        <v>0</v>
      </c>
      <c r="C9">
        <v>2</v>
      </c>
      <c r="D9">
        <v>0</v>
      </c>
      <c r="E9">
        <v>0</v>
      </c>
      <c r="F9">
        <v>2</v>
      </c>
      <c r="G9">
        <v>1</v>
      </c>
      <c r="H9">
        <v>1</v>
      </c>
      <c r="I9">
        <v>0</v>
      </c>
      <c r="J9">
        <v>0</v>
      </c>
      <c r="K9">
        <v>2</v>
      </c>
      <c r="L9">
        <v>1</v>
      </c>
      <c r="M9">
        <v>0</v>
      </c>
      <c r="N9">
        <v>3</v>
      </c>
      <c r="O9">
        <v>1</v>
      </c>
    </row>
    <row r="10" spans="1:15" x14ac:dyDescent="0.3">
      <c r="A10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 x14ac:dyDescent="0.3">
      <c r="A1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t="s">
        <v>24</v>
      </c>
      <c r="B12">
        <v>1</v>
      </c>
      <c r="C12" s="1">
        <v>6</v>
      </c>
      <c r="D12">
        <v>1</v>
      </c>
      <c r="E12">
        <v>4</v>
      </c>
      <c r="F12" s="1">
        <v>7</v>
      </c>
      <c r="G12" s="1">
        <v>6</v>
      </c>
      <c r="H12">
        <v>5</v>
      </c>
      <c r="I12">
        <v>1</v>
      </c>
      <c r="J12">
        <v>1</v>
      </c>
      <c r="K12">
        <v>2</v>
      </c>
      <c r="L12">
        <v>2</v>
      </c>
      <c r="M12">
        <v>5</v>
      </c>
      <c r="N12" s="1">
        <v>11</v>
      </c>
      <c r="O12">
        <v>2</v>
      </c>
    </row>
    <row r="15" spans="1:15" x14ac:dyDescent="0.3">
      <c r="E15" s="2" t="s">
        <v>25</v>
      </c>
      <c r="F15" s="2"/>
      <c r="G15" s="2"/>
      <c r="H15" s="2"/>
      <c r="I15" s="2"/>
      <c r="J15" s="2"/>
      <c r="K15" s="2"/>
    </row>
    <row r="16" spans="1:15" x14ac:dyDescent="0.3">
      <c r="E16" s="2"/>
      <c r="F16" s="2"/>
      <c r="G16" s="2"/>
      <c r="H16" s="2"/>
      <c r="I16" s="2"/>
      <c r="J16" s="2"/>
      <c r="K16" s="2"/>
    </row>
    <row r="17" spans="2:15" x14ac:dyDescent="0.3">
      <c r="E17" s="2"/>
      <c r="F17" s="2"/>
      <c r="G17" s="2"/>
      <c r="H17" s="2"/>
      <c r="I17" s="2"/>
      <c r="J17" s="2"/>
      <c r="K17" s="2"/>
    </row>
    <row r="18" spans="2:15" x14ac:dyDescent="0.3">
      <c r="E18" s="2"/>
      <c r="F18" s="2"/>
      <c r="G18" s="2"/>
      <c r="H18" s="2"/>
      <c r="I18" s="2"/>
      <c r="J18" s="2"/>
      <c r="K18" s="2"/>
    </row>
    <row r="19" spans="2:15" x14ac:dyDescent="0.3">
      <c r="E19" s="2"/>
      <c r="F19" s="2"/>
      <c r="G19" s="2"/>
      <c r="H19" s="2"/>
      <c r="I19" s="2"/>
      <c r="J19" s="2"/>
      <c r="K19" s="2"/>
    </row>
    <row r="22" spans="2:15" x14ac:dyDescent="0.3">
      <c r="B22">
        <f>B4+B5+B6+B7+B8+B10+B11</f>
        <v>1</v>
      </c>
      <c r="C22">
        <f>C4+C5+C6+C7+C8+C10+C11</f>
        <v>4</v>
      </c>
      <c r="D22">
        <f t="shared" ref="D22:O22" si="0">D4+D5+D6+D7+D8+D10+D11</f>
        <v>1</v>
      </c>
      <c r="E22">
        <f t="shared" si="0"/>
        <v>4</v>
      </c>
      <c r="F22">
        <f t="shared" si="0"/>
        <v>5</v>
      </c>
      <c r="G22">
        <f t="shared" si="0"/>
        <v>5</v>
      </c>
      <c r="H22">
        <f t="shared" si="0"/>
        <v>4</v>
      </c>
      <c r="I22">
        <f t="shared" si="0"/>
        <v>1</v>
      </c>
      <c r="J22">
        <f t="shared" si="0"/>
        <v>1</v>
      </c>
      <c r="K22">
        <f t="shared" si="0"/>
        <v>0</v>
      </c>
      <c r="L22">
        <f t="shared" si="0"/>
        <v>1</v>
      </c>
      <c r="M22">
        <f t="shared" si="0"/>
        <v>5</v>
      </c>
      <c r="N22">
        <f t="shared" si="0"/>
        <v>8</v>
      </c>
      <c r="O22">
        <f t="shared" si="0"/>
        <v>1</v>
      </c>
    </row>
  </sheetData>
  <mergeCells count="1">
    <mergeCell ref="E15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BB65-0457-4543-ACFA-E2D0BEF5FB98}">
  <dimension ref="A1:O20"/>
  <sheetViews>
    <sheetView workbookViewId="0">
      <selection activeCell="H13" sqref="H13"/>
    </sheetView>
  </sheetViews>
  <sheetFormatPr defaultRowHeight="14.4" x14ac:dyDescent="0.3"/>
  <cols>
    <col min="1" max="1" width="34.88671875" bestFit="1" customWidth="1"/>
  </cols>
  <sheetData>
    <row r="1" spans="1:15" x14ac:dyDescent="0.3">
      <c r="A1" t="s">
        <v>0</v>
      </c>
      <c r="B1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 t="s">
        <v>17</v>
      </c>
      <c r="B4">
        <v>3</v>
      </c>
      <c r="C4">
        <v>2</v>
      </c>
      <c r="D4">
        <v>1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2</v>
      </c>
      <c r="N4">
        <v>0</v>
      </c>
      <c r="O4">
        <v>0</v>
      </c>
    </row>
    <row r="5" spans="1:15" x14ac:dyDescent="0.3">
      <c r="A5" t="s">
        <v>18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t="s">
        <v>19</v>
      </c>
      <c r="B6">
        <v>2</v>
      </c>
      <c r="C6">
        <v>2</v>
      </c>
      <c r="D6">
        <v>1</v>
      </c>
      <c r="E6">
        <v>1</v>
      </c>
      <c r="F6">
        <v>2</v>
      </c>
      <c r="G6">
        <v>3</v>
      </c>
      <c r="H6">
        <v>6</v>
      </c>
      <c r="I6">
        <v>1</v>
      </c>
      <c r="J6">
        <v>0</v>
      </c>
      <c r="K6">
        <v>0</v>
      </c>
      <c r="L6">
        <v>0</v>
      </c>
      <c r="M6">
        <v>2</v>
      </c>
      <c r="N6">
        <v>4</v>
      </c>
      <c r="O6">
        <v>0</v>
      </c>
    </row>
    <row r="7" spans="1:15" x14ac:dyDescent="0.3">
      <c r="A7" t="s">
        <v>20</v>
      </c>
      <c r="B7">
        <v>0</v>
      </c>
      <c r="C7">
        <v>0</v>
      </c>
      <c r="D7">
        <v>1</v>
      </c>
      <c r="E7">
        <v>0</v>
      </c>
      <c r="F7">
        <v>0</v>
      </c>
      <c r="G7">
        <v>2</v>
      </c>
      <c r="H7">
        <v>2</v>
      </c>
      <c r="I7">
        <v>0</v>
      </c>
      <c r="J7">
        <v>1</v>
      </c>
      <c r="K7">
        <v>0</v>
      </c>
      <c r="L7">
        <v>1</v>
      </c>
      <c r="M7">
        <v>1</v>
      </c>
      <c r="N7">
        <v>4</v>
      </c>
      <c r="O7">
        <v>0</v>
      </c>
    </row>
    <row r="8" spans="1:15" x14ac:dyDescent="0.3">
      <c r="A8" t="s">
        <v>21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26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t="s">
        <v>24</v>
      </c>
      <c r="B10">
        <v>5</v>
      </c>
      <c r="C10" s="1">
        <v>6</v>
      </c>
      <c r="D10">
        <v>3</v>
      </c>
      <c r="E10">
        <v>2</v>
      </c>
      <c r="F10">
        <v>3</v>
      </c>
      <c r="G10">
        <v>5</v>
      </c>
      <c r="H10" s="1">
        <v>13</v>
      </c>
      <c r="I10">
        <v>1</v>
      </c>
      <c r="J10">
        <v>1</v>
      </c>
      <c r="K10">
        <v>1</v>
      </c>
      <c r="L10">
        <v>1</v>
      </c>
      <c r="M10">
        <v>5</v>
      </c>
      <c r="N10" s="1">
        <v>8</v>
      </c>
      <c r="O10">
        <v>0</v>
      </c>
    </row>
    <row r="13" spans="1:15" x14ac:dyDescent="0.3">
      <c r="B13">
        <f>B4+B5+B6+B7+B9</f>
        <v>5</v>
      </c>
      <c r="C13">
        <f t="shared" ref="C13:O13" si="0">C4+C5+C6+C7+C9</f>
        <v>6</v>
      </c>
      <c r="D13">
        <f t="shared" si="0"/>
        <v>3</v>
      </c>
      <c r="E13">
        <f t="shared" si="0"/>
        <v>1</v>
      </c>
      <c r="F13">
        <f t="shared" si="0"/>
        <v>2</v>
      </c>
      <c r="G13">
        <f t="shared" si="0"/>
        <v>5</v>
      </c>
      <c r="H13">
        <f t="shared" si="0"/>
        <v>13</v>
      </c>
      <c r="I13">
        <f t="shared" si="0"/>
        <v>1</v>
      </c>
      <c r="J13">
        <f t="shared" si="0"/>
        <v>1</v>
      </c>
      <c r="K13">
        <f t="shared" si="0"/>
        <v>0</v>
      </c>
      <c r="L13">
        <f t="shared" si="0"/>
        <v>1</v>
      </c>
      <c r="M13">
        <f t="shared" si="0"/>
        <v>5</v>
      </c>
      <c r="N13">
        <f t="shared" si="0"/>
        <v>8</v>
      </c>
      <c r="O13">
        <f t="shared" si="0"/>
        <v>0</v>
      </c>
    </row>
    <row r="16" spans="1:15" x14ac:dyDescent="0.3">
      <c r="E16" s="2" t="s">
        <v>27</v>
      </c>
      <c r="F16" s="2"/>
      <c r="G16" s="2"/>
      <c r="H16" s="2"/>
      <c r="I16" s="2"/>
      <c r="J16" s="2"/>
    </row>
    <row r="17" spans="5:10" x14ac:dyDescent="0.3">
      <c r="E17" s="2"/>
      <c r="F17" s="2"/>
      <c r="G17" s="2"/>
      <c r="H17" s="2"/>
      <c r="I17" s="2"/>
      <c r="J17" s="2"/>
    </row>
    <row r="18" spans="5:10" x14ac:dyDescent="0.3">
      <c r="E18" s="2"/>
      <c r="F18" s="2"/>
      <c r="G18" s="2"/>
      <c r="H18" s="2"/>
      <c r="I18" s="2"/>
      <c r="J18" s="2"/>
    </row>
    <row r="19" spans="5:10" x14ac:dyDescent="0.3">
      <c r="E19" s="2"/>
      <c r="F19" s="2"/>
      <c r="G19" s="2"/>
      <c r="H19" s="2"/>
      <c r="I19" s="2"/>
      <c r="J19" s="2"/>
    </row>
    <row r="20" spans="5:10" x14ac:dyDescent="0.3">
      <c r="E20" s="2"/>
      <c r="F20" s="2"/>
      <c r="G20" s="2"/>
      <c r="H20" s="2"/>
      <c r="I20" s="2"/>
      <c r="J20" s="2"/>
    </row>
  </sheetData>
  <mergeCells count="1">
    <mergeCell ref="E16:J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6628-6F15-4A9E-AC2F-CDE6BEBC8D04}">
  <dimension ref="A1:P14"/>
  <sheetViews>
    <sheetView workbookViewId="0">
      <selection activeCell="E18" sqref="E18"/>
    </sheetView>
  </sheetViews>
  <sheetFormatPr defaultRowHeight="14.4" x14ac:dyDescent="0.3"/>
  <cols>
    <col min="1" max="1" width="24.5546875" customWidth="1"/>
  </cols>
  <sheetData>
    <row r="1" spans="1:16" x14ac:dyDescent="0.3">
      <c r="A1" t="s">
        <v>0</v>
      </c>
      <c r="B1">
        <v>2</v>
      </c>
    </row>
    <row r="3" spans="1:1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6" x14ac:dyDescent="0.3">
      <c r="A4" t="s">
        <v>17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6" x14ac:dyDescent="0.3">
      <c r="A5" t="s">
        <v>19</v>
      </c>
      <c r="B5">
        <v>0</v>
      </c>
      <c r="C5">
        <v>1</v>
      </c>
      <c r="D5">
        <v>0</v>
      </c>
      <c r="E5">
        <v>0</v>
      </c>
      <c r="F5">
        <v>2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</row>
    <row r="6" spans="1:16" x14ac:dyDescent="0.3">
      <c r="A6" t="s">
        <v>20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6" x14ac:dyDescent="0.3">
      <c r="A7" t="s">
        <v>24</v>
      </c>
      <c r="B7">
        <v>0</v>
      </c>
      <c r="C7">
        <v>2</v>
      </c>
      <c r="D7">
        <v>0</v>
      </c>
      <c r="E7">
        <v>0</v>
      </c>
      <c r="F7" s="1">
        <v>3</v>
      </c>
      <c r="G7">
        <v>1</v>
      </c>
      <c r="H7" s="1">
        <v>3</v>
      </c>
      <c r="I7">
        <v>0</v>
      </c>
      <c r="J7">
        <v>1</v>
      </c>
      <c r="K7">
        <v>0</v>
      </c>
      <c r="L7">
        <v>0</v>
      </c>
      <c r="M7">
        <v>0</v>
      </c>
      <c r="N7" s="1">
        <v>2</v>
      </c>
      <c r="O7">
        <v>0</v>
      </c>
      <c r="P7">
        <f>SUM(B7:O7)</f>
        <v>12</v>
      </c>
    </row>
    <row r="8" spans="1:16" x14ac:dyDescent="0.3">
      <c r="B8">
        <f t="shared" ref="B8:E8" si="0">100*B7/$P$7</f>
        <v>0</v>
      </c>
      <c r="C8">
        <f t="shared" si="0"/>
        <v>16.666666666666668</v>
      </c>
      <c r="D8">
        <f t="shared" si="0"/>
        <v>0</v>
      </c>
      <c r="E8">
        <f t="shared" si="0"/>
        <v>0</v>
      </c>
      <c r="F8">
        <f>100*F7/$P$7</f>
        <v>25</v>
      </c>
      <c r="G8">
        <f t="shared" ref="G8:O8" si="1">100*G7/$P$7</f>
        <v>8.3333333333333339</v>
      </c>
      <c r="H8">
        <f t="shared" si="1"/>
        <v>25</v>
      </c>
      <c r="I8">
        <f t="shared" si="1"/>
        <v>0</v>
      </c>
      <c r="J8">
        <f t="shared" si="1"/>
        <v>8.3333333333333339</v>
      </c>
      <c r="K8">
        <f t="shared" si="1"/>
        <v>0</v>
      </c>
      <c r="L8">
        <f t="shared" si="1"/>
        <v>0</v>
      </c>
      <c r="M8">
        <f t="shared" si="1"/>
        <v>0</v>
      </c>
      <c r="N8">
        <f t="shared" si="1"/>
        <v>16.666666666666668</v>
      </c>
      <c r="O8">
        <f t="shared" si="1"/>
        <v>0</v>
      </c>
    </row>
    <row r="11" spans="1:16" x14ac:dyDescent="0.3">
      <c r="F11" s="2" t="s">
        <v>28</v>
      </c>
      <c r="G11" s="2"/>
      <c r="H11" s="2"/>
      <c r="I11" s="2"/>
      <c r="J11" s="2"/>
      <c r="K11" s="2"/>
    </row>
    <row r="12" spans="1:16" x14ac:dyDescent="0.3">
      <c r="F12" s="2"/>
      <c r="G12" s="2"/>
      <c r="H12" s="2"/>
      <c r="I12" s="2"/>
      <c r="J12" s="2"/>
      <c r="K12" s="2"/>
    </row>
    <row r="13" spans="1:16" x14ac:dyDescent="0.3">
      <c r="F13" s="2"/>
      <c r="G13" s="2"/>
      <c r="H13" s="2"/>
      <c r="I13" s="2"/>
      <c r="J13" s="2"/>
      <c r="K13" s="2"/>
    </row>
    <row r="14" spans="1:16" x14ac:dyDescent="0.3">
      <c r="F14" s="2"/>
      <c r="G14" s="2"/>
      <c r="H14" s="2"/>
      <c r="I14" s="2"/>
      <c r="J14" s="2"/>
      <c r="K14" s="2"/>
    </row>
  </sheetData>
  <mergeCells count="1">
    <mergeCell ref="F11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2026-04-23T14:40:25Z</dcterms:modified>
</cp:coreProperties>
</file>